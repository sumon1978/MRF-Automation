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lam.munjurul\Desktop\MRF-Automation\New BTS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Sheet1!$A$14:$K$60</definedName>
  </definedNames>
  <calcPr calcId="162913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<sst xmlns="http://schemas.openxmlformats.org/spreadsheetml/2006/main" count="262" uniqueCount="150">
  <si>
    <t>Material Requisition Form (MRF)
(To be filled up by User/Requester)</t>
  </si>
  <si>
    <t>Request Date :</t>
  </si>
  <si>
    <t>House Owner Informed :</t>
  </si>
  <si>
    <t>Yes</t>
  </si>
  <si>
    <t>Name of the User :</t>
  </si>
  <si>
    <t>Shahriar Mahbub</t>
  </si>
  <si>
    <t>Access Permission Taken :</t>
  </si>
  <si>
    <t>Contact Number of the User :</t>
  </si>
  <si>
    <t>8801833181934</t>
  </si>
  <si>
    <t>Site Key Available :</t>
  </si>
  <si>
    <t>Reservation Number :</t>
  </si>
  <si>
    <t>Authorization Letter Issued :</t>
  </si>
  <si>
    <t>Materials Source/ PO Number :</t>
  </si>
  <si>
    <t>Ericsson PO</t>
  </si>
  <si>
    <t>Receiver Informed :</t>
  </si>
  <si>
    <t>Location/ Site Name :</t>
  </si>
  <si>
    <t>Full Name of the Receiver :</t>
  </si>
  <si>
    <t>Address of the Site :</t>
  </si>
  <si>
    <t>Contact Number of the Receiver :</t>
  </si>
  <si>
    <t>Site Code :</t>
  </si>
  <si>
    <t>Name of Project Manager of LSP :</t>
  </si>
  <si>
    <t>Name of the Vendor :</t>
  </si>
  <si>
    <t>Contact Number of Project Manager  :</t>
  </si>
  <si>
    <t>Site Located in Which Floor :</t>
  </si>
  <si>
    <t>Sl. No.</t>
  </si>
  <si>
    <t>Product Code</t>
  </si>
  <si>
    <t>Material code</t>
  </si>
  <si>
    <t>Plant</t>
  </si>
  <si>
    <t>Storage Location</t>
  </si>
  <si>
    <t>Name of Storage</t>
  </si>
  <si>
    <t>Material Description</t>
  </si>
  <si>
    <t>Serial</t>
  </si>
  <si>
    <t>Quantity</t>
  </si>
  <si>
    <t>UOM</t>
  </si>
  <si>
    <t>Remarks/Model/PO</t>
  </si>
  <si>
    <t>Transport Requisition Form (TRF)
(To be filled up by Warehouse &amp; Transport Management)</t>
  </si>
  <si>
    <t>GI Document Number :</t>
  </si>
  <si>
    <t xml:space="preserve">Name of the Transport Vendor  : </t>
  </si>
  <si>
    <t>Challan Number :</t>
  </si>
  <si>
    <t>Name of the Transport Supervisor :</t>
  </si>
  <si>
    <t>Challan Date :</t>
  </si>
  <si>
    <t>Contact Number of the Transport Supervisor :</t>
  </si>
  <si>
    <t>VAT Registration Number :</t>
  </si>
  <si>
    <t>Name of the Driver :</t>
  </si>
  <si>
    <t>Delivery Lead Time :</t>
  </si>
  <si>
    <t>Contact Number of the Driver :</t>
  </si>
  <si>
    <t>Expected Date of Unloading :</t>
  </si>
  <si>
    <t>Name of the WH Personnel :</t>
  </si>
  <si>
    <t>Vehicle Number :</t>
  </si>
  <si>
    <t>Contact Number of the WH Personnel :</t>
  </si>
  <si>
    <t>Vehicle Capacity :</t>
  </si>
  <si>
    <t>Email Address of WH Personnel</t>
  </si>
  <si>
    <t>Vehicle Tracking System Available :</t>
  </si>
  <si>
    <t>Insurance Number :</t>
  </si>
  <si>
    <t>Name of the Delivery Coordinator :</t>
  </si>
  <si>
    <t>Name of the Delivery Approver :</t>
  </si>
  <si>
    <t>Designation of the Delivery Coordinator :</t>
  </si>
  <si>
    <t>Designation of the Delivery Approver :</t>
  </si>
  <si>
    <t>Contact No. of the Delivery Coordinator :</t>
  </si>
  <si>
    <t>Contact No. of the Delivery Approver :</t>
  </si>
  <si>
    <t>Signature of the Delivery Coordinator :</t>
  </si>
  <si>
    <t>Signature of the Delivery Approver :</t>
  </si>
  <si>
    <t>Receiver Acknowledgment
(To be filled up by the Receiver)</t>
  </si>
  <si>
    <t xml:space="preserve">Full Name of the Receiver :                                                </t>
  </si>
  <si>
    <t>Remarks/ Comments (if any) :</t>
  </si>
  <si>
    <t>Receiver's Signature along with Company Seal :</t>
  </si>
  <si>
    <t xml:space="preserve">Contact No. : </t>
  </si>
  <si>
    <t>Name of the LSP :</t>
  </si>
  <si>
    <t>Time of Unloading :</t>
  </si>
  <si>
    <t>Date of Unloading :</t>
  </si>
  <si>
    <t xml:space="preserve">Driver, Supervisor, Labor Quantity (Total) : </t>
  </si>
  <si>
    <t>Transport &amp; Labor Cost Calculation 
(To be filled up by Warehouse &amp; Transport Management)</t>
  </si>
  <si>
    <t>Particulars</t>
  </si>
  <si>
    <t>Primary Cost as per Contract</t>
  </si>
  <si>
    <t>Additional/ Delta Cost Adjustment</t>
  </si>
  <si>
    <t>Remarks</t>
  </si>
  <si>
    <t>Distance</t>
  </si>
  <si>
    <t>Site to Site Distance :</t>
  </si>
  <si>
    <t>Labor Quantity :</t>
  </si>
  <si>
    <t>Freight Cost :</t>
  </si>
  <si>
    <t>Site to Site Distance Cost :</t>
  </si>
  <si>
    <t>Labor Cost :</t>
  </si>
  <si>
    <t>Demmurage Cost :</t>
  </si>
  <si>
    <t>Any Other Cost :</t>
  </si>
  <si>
    <t>Total Invoice Amount :</t>
  </si>
  <si>
    <t>Reason of Demmurage :</t>
  </si>
  <si>
    <t>Comments (if any)</t>
  </si>
  <si>
    <t>Central Warehouse : Tongi , 176 &amp; 177 Himardighi , Tongi I /A , Tongi, Gazipur - 1711, Dhaka
Contact No.: +8801817182554; E-mail: nura.alam@robi.com.bd</t>
  </si>
  <si>
    <t>Regional Warehouse : Choto Kumira, P.O- Mosjidda, P.S- Sitakunda, Chittagong,  Old DT RD, Chittagong-  4314, Contact No.: +8801817182574; E-mail: washim.bari@robi.com.bd</t>
  </si>
  <si>
    <t>NA</t>
  </si>
  <si>
    <t>M</t>
  </si>
  <si>
    <t>CGKTLI3</t>
  </si>
  <si>
    <t>Ashkhar Dighir Par_1, Kotwali Thana,Chittagong</t>
  </si>
  <si>
    <t>Tech 360</t>
  </si>
  <si>
    <t>Tanvir_0 1834-814353</t>
  </si>
  <si>
    <t>02311VFF</t>
  </si>
  <si>
    <t>BBU5900 Box</t>
  </si>
  <si>
    <t>Pcs</t>
  </si>
  <si>
    <t>02232PAN</t>
  </si>
  <si>
    <t>Accessories</t>
  </si>
  <si>
    <t>MPE Site Materials Kit,Site Auxiliary Material Kit,For BBU5900</t>
  </si>
  <si>
    <t>04152214</t>
  </si>
  <si>
    <t>Power Cable,0.7m,Blue/Black,HDEPC,2*H07Z-K-4^2BL+2*H07Z-K-4^2B,BBU5900 Power Cable,LSZH</t>
  </si>
  <si>
    <t>02232HHS</t>
  </si>
  <si>
    <t>MPE Site Materials Kit,Feeder Color  Coding Material Kit,Purple/Orange/Green Color  Coding Material Kit</t>
  </si>
  <si>
    <t>25030191</t>
  </si>
  <si>
    <t>Power Cable,450V/750V,60227 IEC 02(RV),6mm^2,Yellow/Green,46A,CCC,CE (Unit:meter)</t>
  </si>
  <si>
    <t>DBS Cable Suite Label</t>
  </si>
  <si>
    <t>02120731</t>
  </si>
  <si>
    <t>DC Power Distribution Unit</t>
  </si>
  <si>
    <t>25030428</t>
  </si>
  <si>
    <t>Power Cable,450V/750V,60227 IEC 02(RV),16mm^2,Black,85A,CCC,CE (Unit:meter)</t>
  </si>
  <si>
    <t>25030430</t>
  </si>
  <si>
    <t>Power Cable,450V/750V,60227 IEC 02(RV),16mm^2,Blue,85A,CCC,CE (Unit:meter)</t>
  </si>
  <si>
    <t>DC Power Distribution Unit DCDU16D-02</t>
  </si>
  <si>
    <t>Power Cable,450V/750V,H07Z-K UL3386,25mm^2,Black,138A,LSZH Cable,VDE,UL (Unit:meter)</t>
  </si>
  <si>
    <t>Power Cable,450V/750V,H07Z-K UL3386,25mm^2,Blue,138A,LSZH Cable,VDE,UL (Unit:meter)</t>
  </si>
  <si>
    <t>03059609</t>
  </si>
  <si>
    <t>2099509</t>
  </si>
  <si>
    <t>Universal Main Processing &amp; Transmission Unit (2 Electrical FE/GE&amp;2 Optical GE/XGE,UMPTga3)</t>
  </si>
  <si>
    <t>04050386</t>
  </si>
  <si>
    <t>IT Equipment Cable,For BBU local maintenance adapter,0.38m,USB3.0 standard A Type Male,CC2P0.48B(S)-I,MP8(S)-III,LSZH</t>
  </si>
  <si>
    <t>Universal Baseband Processing Unit g2</t>
  </si>
  <si>
    <t>02231GJJ</t>
  </si>
  <si>
    <t>Embedded Environment Monitoring Unit (with sensors)</t>
  </si>
  <si>
    <t>02314TNV</t>
  </si>
  <si>
    <t>RRU5919 for Multi-Mode 900MHz(2*60W)</t>
  </si>
  <si>
    <t>25033327</t>
  </si>
  <si>
    <t>Power Cable,600V,UL2586,2x12AWG,Black (2Cores:Blue,Black),D,Shielding Outdoor Cable,UL (Unit:meter)</t>
  </si>
  <si>
    <t>02314NYS</t>
  </si>
  <si>
    <t>RRU5827 for Multi-mode 1800MHz~2100MHz (8T8R*2, 8*80W)</t>
  </si>
  <si>
    <t>Power Cable,600V,UL2586,2x5AWG,Black(2Cores:Blue,Black),D,Shielding Outdoor Cable,UL (Unit:meter)</t>
  </si>
  <si>
    <t>27014517</t>
  </si>
  <si>
    <t>2099274</t>
  </si>
  <si>
    <t>Directional Antenna,D07X-690-960/2x1695-2690/4x2300-2690-4x65-17i/2x18i/22i-4xM-R,15*4.3-10 Female,Downtilt kit packed separately</t>
  </si>
  <si>
    <t>27151294</t>
  </si>
  <si>
    <t>Downtilt Kit-H</t>
  </si>
  <si>
    <t>Traditional Signal Cable,AISG Communication cable,5m,D9M+D9(PS)(W),CC4P0.5PB(S),RC8SF(S)-I</t>
  </si>
  <si>
    <t>04130700-002</t>
  </si>
  <si>
    <t>1/2 Superflex HU Jumper 4m 4.3-10SM- 4.3</t>
  </si>
  <si>
    <t>RF Jumper 0 5m 4 COAX50 1by4 Superflex</t>
  </si>
  <si>
    <t>Power Cable,450V/750V,60227 IEC 02(RV),16mm^2,Yellow/Green,85A,CCC,CE (Unit:meter)</t>
  </si>
  <si>
    <t>OptCabP_DLCbyUPC_s mod50m 2cr 0 03mby0 3</t>
  </si>
  <si>
    <t>34060713</t>
  </si>
  <si>
    <t>Optical Transceiver,SFP+,1310nm,9.8G,-8.2dBm~+0.5dBm,-10.3dBm,LC,SM,1.4km</t>
  </si>
  <si>
    <t>27150086</t>
  </si>
  <si>
    <t>Cable Installation Accessories,Cable Fixing Clamp,6 Runs(2x3 stacks),C Type Bracket,for Optical Cable + 3.3/4/6/8.3mm^2 RRU Power Cable</t>
  </si>
  <si>
    <t>04070012</t>
  </si>
  <si>
    <t>Traditional Signal Cable,10m</t>
  </si>
  <si>
    <t>CAPEXCentral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</si>
</sst>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6"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u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sz val="8"/>
      <color theme="1"/>
      <name val="Ericsson Hilda"/>
      <charset val="134"/>
    </font>
    <font>
      <sz val="11"/>
      <color theme="1"/>
      <name val="Calibri"/>
      <family val="2"/>
      <scheme val="minor"/>
    </font>
    <font>
      <sz val="8"/>
      <name val="Ericsson Hilda"/>
    </font>
    <font>
      <sz val="8"/>
      <color rgb="FF000000"/>
      <name val="Calibri"/>
      <family val="2"/>
      <scheme val="minor"/>
    </font>
    <font>
      <sz val="9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05">
    <xf numFmtId="0" fontId="0" fillId="0" borderId="0" xfId="0"/>
    <xf numFmtId="0" fontId="2" fillId="2" borderId="0" xfId="2" applyFont="1" applyFill="1" applyAlignment="1" applyProtection="1">
      <alignment horizontal="right" vertical="center"/>
      <protection hidden="1"/>
    </xf>
    <xf numFmtId="0" fontId="3" fillId="2" borderId="0" xfId="2" applyFont="1" applyFill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/>
      <protection hidden="1"/>
    </xf>
    <xf numFmtId="0" fontId="2" fillId="2" borderId="0" xfId="2" applyFont="1" applyFill="1" applyAlignment="1" applyProtection="1">
      <alignment horizontal="center" vertical="center"/>
      <protection hidden="1"/>
    </xf>
    <xf numFmtId="0" fontId="2" fillId="2" borderId="0" xfId="2" applyFont="1" applyFill="1" applyAlignment="1" applyProtection="1">
      <alignment horizontal="center" vertical="center" wrapText="1"/>
      <protection hidden="1"/>
    </xf>
    <xf numFmtId="164" fontId="2" fillId="2" borderId="0" xfId="2" applyNumberFormat="1" applyFont="1" applyFill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left" vertical="center"/>
      <protection hidden="1"/>
    </xf>
    <xf numFmtId="15" fontId="6" fillId="2" borderId="3" xfId="2" applyNumberFormat="1" applyFont="1" applyFill="1" applyBorder="1" applyAlignment="1" applyProtection="1">
      <alignment horizontal="center" vertical="center" wrapText="1"/>
      <protection hidden="1"/>
    </xf>
    <xf numFmtId="0" fontId="5" fillId="4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vertical="center"/>
      <protection hidden="1"/>
    </xf>
    <xf numFmtId="0" fontId="3" fillId="2" borderId="3" xfId="2" applyFont="1" applyFill="1" applyBorder="1" applyAlignment="1" applyProtection="1">
      <alignment horizontal="center" vertical="center"/>
      <protection locked="0"/>
    </xf>
    <xf numFmtId="0" fontId="6" fillId="2" borderId="7" xfId="2" applyFont="1" applyFill="1" applyBorder="1" applyAlignment="1" applyProtection="1">
      <alignment horizontal="center" vertical="center"/>
      <protection hidden="1"/>
    </xf>
    <xf numFmtId="0" fontId="6" fillId="2" borderId="13" xfId="2" applyFont="1" applyFill="1" applyBorder="1" applyAlignment="1" applyProtection="1">
      <alignment horizontal="center" vertical="center"/>
      <protection hidden="1"/>
    </xf>
    <xf numFmtId="0" fontId="6" fillId="0" borderId="3" xfId="2" applyFont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4" xfId="2" applyFont="1" applyFill="1" applyBorder="1" applyAlignment="1" applyProtection="1">
      <alignment horizontal="left" vertical="center" wrapText="1"/>
      <protection hidden="1"/>
    </xf>
    <xf numFmtId="0" fontId="5" fillId="2" borderId="0" xfId="2" applyFont="1" applyFill="1" applyAlignment="1" applyProtection="1">
      <alignment vertical="center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6" fillId="2" borderId="14" xfId="2" applyFont="1" applyFill="1" applyBorder="1" applyAlignment="1" applyProtection="1">
      <alignment horizontal="center" vertical="center"/>
      <protection hidden="1"/>
    </xf>
    <xf numFmtId="0" fontId="6" fillId="3" borderId="11" xfId="2" applyFont="1" applyFill="1" applyBorder="1" applyAlignment="1" applyProtection="1">
      <alignment horizontal="center" vertical="center"/>
      <protection hidden="1"/>
    </xf>
    <xf numFmtId="0" fontId="3" fillId="2" borderId="16" xfId="2" applyFont="1" applyFill="1" applyBorder="1" applyAlignment="1" applyProtection="1">
      <alignment horizontal="center" vertical="center"/>
      <protection hidden="1"/>
    </xf>
    <xf numFmtId="0" fontId="3" fillId="2" borderId="17" xfId="2" applyFont="1" applyFill="1" applyBorder="1" applyAlignment="1" applyProtection="1">
      <alignment horizontal="center" vertical="center" wrapText="1"/>
      <protection hidden="1"/>
    </xf>
    <xf numFmtId="0" fontId="6" fillId="2" borderId="12" xfId="2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 applyProtection="1">
      <alignment horizontal="left" vertical="center" wrapText="1"/>
      <protection hidden="1"/>
    </xf>
    <xf numFmtId="0" fontId="3" fillId="2" borderId="17" xfId="2" applyFont="1" applyFill="1" applyBorder="1" applyAlignment="1" applyProtection="1">
      <alignment horizontal="center" vertical="center"/>
      <protection hidden="1"/>
    </xf>
    <xf numFmtId="164" fontId="3" fillId="2" borderId="18" xfId="2" applyNumberFormat="1" applyFont="1" applyFill="1" applyBorder="1" applyAlignment="1" applyProtection="1">
      <alignment horizontal="center" vertical="center"/>
      <protection hidden="1"/>
    </xf>
    <xf numFmtId="0" fontId="5" fillId="2" borderId="3" xfId="2" quotePrefix="1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3" fillId="2" borderId="3" xfId="9" applyFont="1" applyFill="1" applyBorder="1" applyAlignment="1" applyProtection="1">
      <alignment horizontal="center" vertical="center"/>
      <protection locked="0" hidden="1"/>
    </xf>
    <xf numFmtId="0" fontId="1" fillId="2" borderId="3" xfId="8" applyFont="1" applyFill="1" applyBorder="1" applyAlignment="1">
      <alignment horizontal="center" vertical="center"/>
    </xf>
    <xf numFmtId="0" fontId="13" fillId="2" borderId="3" xfId="8" applyFont="1" applyFill="1" applyBorder="1" applyAlignment="1">
      <alignment horizontal="center" vertical="center"/>
    </xf>
    <xf numFmtId="0" fontId="1" fillId="2" borderId="3" xfId="8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6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left" vertical="center"/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5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14" xfId="2" applyFont="1" applyFill="1" applyBorder="1" applyAlignment="1" applyProtection="1">
      <alignment horizontal="center" vertical="center" wrapText="1"/>
      <protection hidden="1"/>
    </xf>
    <xf numFmtId="0" fontId="12" fillId="2" borderId="3" xfId="6" applyFont="1" applyFill="1" applyBorder="1" applyAlignment="1" applyProtection="1">
      <alignment horizontal="center" vertical="center"/>
      <protection hidden="1"/>
    </xf>
    <xf numFmtId="0" fontId="12" fillId="0" borderId="3" xfId="6" applyFont="1" applyBorder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center" vertical="center" wrapText="1"/>
      <protection hidden="1"/>
    </xf>
    <xf numFmtId="0" fontId="15" fillId="0" borderId="3" xfId="0" applyFont="1" applyBorder="1" applyAlignment="1">
      <alignment horizontal="center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7" xfId="2" applyFont="1" applyFill="1" applyBorder="1" applyAlignment="1" applyProtection="1">
      <alignment horizontal="center" vertical="center" wrapText="1"/>
      <protection hidden="1"/>
    </xf>
    <xf numFmtId="0" fontId="8" fillId="2" borderId="0" xfId="2" applyFont="1" applyFill="1" applyAlignment="1" applyProtection="1">
      <alignment horizontal="center" vertical="center"/>
      <protection hidden="1"/>
    </xf>
    <xf numFmtId="0" fontId="5" fillId="2" borderId="0" xfId="2" applyFont="1" applyFill="1" applyAlignment="1" applyProtection="1">
      <alignment horizontal="center" vertical="center"/>
      <protection hidden="1"/>
    </xf>
    <xf numFmtId="0" fontId="6" fillId="2" borderId="10" xfId="2" applyFont="1" applyFill="1" applyBorder="1" applyAlignment="1" applyProtection="1">
      <alignment horizontal="center" vertical="center"/>
      <protection hidden="1"/>
    </xf>
    <xf numFmtId="0" fontId="6" fillId="2" borderId="15" xfId="2" applyFont="1" applyFill="1" applyBorder="1" applyAlignment="1" applyProtection="1">
      <alignment horizontal="center" vertical="center"/>
      <protection hidden="1"/>
    </xf>
    <xf numFmtId="0" fontId="12" fillId="0" borderId="3" xfId="6" quotePrefix="1" applyFont="1" applyBorder="1" applyAlignment="1" applyProtection="1">
      <alignment horizontal="center" vertical="center"/>
      <protection hidden="1"/>
    </xf>
    <xf numFmtId="0" fontId="3" fillId="2" borderId="3" xfId="6" applyFont="1" applyFill="1" applyBorder="1" applyAlignment="1" applyProtection="1">
      <alignment horizontal="left" vertical="center"/>
      <protection hidden="1"/>
    </xf>
    <xf numFmtId="0" fontId="0" fillId="2" borderId="0" xfId="0" applyFill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3" fillId="2" borderId="3" xfId="2" applyFont="1" applyFill="1" applyBorder="1" applyAlignment="1" applyProtection="1">
      <alignment horizontal="center" vertical="center"/>
      <protection hidden="1"/>
    </xf>
    <xf numFmtId="0" fontId="6" fillId="2" borderId="3" xfId="2" applyFont="1" applyFill="1" applyBorder="1" applyAlignment="1" applyProtection="1">
      <alignment vertical="center"/>
      <protection hidden="1"/>
    </xf>
    <xf numFmtId="0" fontId="0" fillId="0" borderId="12" xfId="0" applyBorder="1" applyAlignment="1" applyProtection="1"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3" fillId="0" borderId="3" xfId="2" applyFont="1" applyBorder="1" applyAlignment="1" applyProtection="1">
      <alignment horizontal="center" vertical="center"/>
      <protection hidden="1"/>
    </xf>
    <xf numFmtId="0" fontId="6" fillId="0" borderId="3" xfId="2" applyFont="1" applyBorder="1" applyAlignment="1" applyProtection="1">
      <alignment horizontal="center" vertical="center" wrapText="1"/>
      <protection hidden="1"/>
    </xf>
    <xf numFmtId="0" fontId="3" fillId="3" borderId="0" xfId="2" applyFont="1" applyFill="1" applyAlignment="1" applyProtection="1">
      <alignment horizontal="center" vertical="center" wrapText="1"/>
      <protection hidden="1"/>
    </xf>
    <xf numFmtId="0" fontId="5" fillId="0" borderId="3" xfId="2" applyFont="1" applyBorder="1" applyAlignment="1">
      <alignment horizontal="left" vertical="center"/>
    </xf>
    <xf numFmtId="0" fontId="3" fillId="2" borderId="3" xfId="2" applyFont="1" applyFill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0" fillId="0" borderId="12" xfId="0" applyBorder="1" applyProtection="1">
      <protection hidden="1"/>
    </xf>
    <xf numFmtId="0" fontId="6" fillId="2" borderId="10" xfId="2" applyFont="1" applyFill="1" applyBorder="1" applyAlignment="1" applyProtection="1">
      <alignment horizontal="left" vertical="center"/>
      <protection hidden="1"/>
    </xf>
    <xf numFmtId="0" fontId="0" fillId="0" borderId="10" xfId="0" applyBorder="1" applyProtection="1">
      <protection hidden="1"/>
    </xf>
    <xf numFmtId="0" fontId="6" fillId="2" borderId="0" xfId="2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6" fillId="3" borderId="3" xfId="2" applyFont="1" applyFill="1" applyBorder="1" applyAlignment="1" applyProtection="1">
      <alignment horizontal="center" vertical="center" wrapText="1"/>
      <protection hidden="1"/>
    </xf>
    <xf numFmtId="0" fontId="5" fillId="2" borderId="3" xfId="2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3" fillId="2" borderId="15" xfId="2" applyFont="1" applyFill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0" fillId="0" borderId="9" xfId="0" applyBorder="1" applyProtection="1">
      <protection hidden="1"/>
    </xf>
    <xf numFmtId="0" fontId="7" fillId="2" borderId="7" xfId="2" applyFont="1" applyFill="1" applyBorder="1" applyAlignment="1" applyProtection="1">
      <alignment horizontal="left" vertical="center" wrapText="1"/>
      <protection hidden="1"/>
    </xf>
    <xf numFmtId="0" fontId="0" fillId="0" borderId="7" xfId="0" applyBorder="1" applyProtection="1"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13" xfId="0" applyBorder="1" applyProtection="1">
      <protection hidden="1"/>
    </xf>
    <xf numFmtId="0" fontId="6" fillId="2" borderId="19" xfId="2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6" fillId="2" borderId="14" xfId="2" applyFont="1" applyFill="1" applyBorder="1" applyAlignment="1" applyProtection="1">
      <alignment horizontal="center" vertical="center" wrapText="1"/>
      <protection hidden="1"/>
    </xf>
    <xf numFmtId="0" fontId="4" fillId="3" borderId="15" xfId="2" applyFont="1" applyFill="1" applyBorder="1" applyAlignment="1" applyProtection="1">
      <alignment horizontal="center" vertical="center" wrapText="1"/>
      <protection hidden="1"/>
    </xf>
    <xf numFmtId="0" fontId="5" fillId="3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left" vertical="center" wrapText="1"/>
      <protection hidden="1"/>
    </xf>
    <xf numFmtId="0" fontId="6" fillId="2" borderId="8" xfId="2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6" fillId="2" borderId="3" xfId="2" applyFont="1" applyFill="1" applyBorder="1" applyAlignment="1" applyProtection="1">
      <alignment horizontal="center" vertical="center" wrapText="1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6" fillId="3" borderId="8" xfId="2" applyFont="1" applyFill="1" applyBorder="1" applyAlignment="1" applyProtection="1">
      <alignment horizontal="left" vertical="center" wrapText="1"/>
      <protection hidden="1"/>
    </xf>
    <xf numFmtId="0" fontId="6" fillId="2" borderId="20" xfId="2" applyFont="1" applyFill="1" applyBorder="1" applyAlignment="1" applyProtection="1">
      <alignment horizontal="left" vertic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3" fillId="2" borderId="8" xfId="2" applyFont="1" applyFill="1" applyBorder="1" applyAlignment="1" applyProtection="1">
      <alignment vertical="center" wrapText="1"/>
      <protection hidden="1"/>
    </xf>
  </cellXfs>
  <cellStyles count="13">
    <cellStyle name="Normal" xfId="0" builtinId="0"/>
    <cellStyle name="Normal 2" xfId="1"/>
    <cellStyle name="Normal 2 2" xfId="4"/>
    <cellStyle name="Normal 3" xfId="2"/>
    <cellStyle name="Normal 3 2" xfId="6"/>
    <cellStyle name="Normal 3 2 2" xfId="11"/>
    <cellStyle name="Normal 3 2 2 2" xfId="7"/>
    <cellStyle name="Normal 3 2 2 2 2" xfId="12"/>
    <cellStyle name="Normal 3 3" xfId="9"/>
    <cellStyle name="Normal 3 6" xfId="5"/>
    <cellStyle name="Normal 3 6 2" xfId="10"/>
    <cellStyle name="Normal 4" xfId="3"/>
    <cellStyle name="Normal 5" xfId="8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85725</xdr:rowOff>
    </xdr:from>
    <xdr:ext cx="867373" cy="462123"/>
    <xdr:pic>
      <xdr:nvPicPr>
        <xdr:cNvPr id="1367" name="Picture 13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91875" y="85725"/>
          <a:ext cx="867373" cy="46212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tabSelected="1" zoomScale="80" zoomScaleNormal="80" workbookViewId="0">
      <selection activeCell="G14" sqref="G14"/>
    </sheetView>
  </sheetViews>
  <sheetFormatPr defaultColWidth="10" defaultRowHeight="15"/>
  <cols>
    <col min="1" max="1" width="7.28515625" style="4" customWidth="1"/>
    <col min="2" max="2" width="17.42578125" style="4" customWidth="1"/>
    <col min="3" max="3" width="19.140625" style="4" customWidth="1"/>
    <col min="4" max="4" width="11.28515625" style="4" customWidth="1"/>
    <col min="5" max="5" width="10.85546875" style="4" customWidth="1"/>
    <col min="6" max="6" width="16.140625" style="4" customWidth="1"/>
    <col min="7" max="7" width="70.5703125" style="5" customWidth="1"/>
    <col min="8" max="8" width="16.28515625" style="5" customWidth="1"/>
    <col min="9" max="9" width="10.28515625" style="4" customWidth="1"/>
    <col min="10" max="10" width="8.7109375" style="4" customWidth="1"/>
    <col min="11" max="11" width="19.7109375" style="6" customWidth="1"/>
    <col min="12" max="15" width="10" style="4" customWidth="1"/>
    <col min="16" max="16384" width="10" style="4"/>
  </cols>
  <sheetData>
    <row r="1" spans="1:11" ht="15.75" customHeight="1">
      <c r="A1" s="7"/>
      <c r="B1" s="45"/>
      <c r="C1" s="45"/>
      <c r="D1" s="45"/>
      <c r="E1" s="45"/>
      <c r="F1" s="45"/>
      <c r="G1" s="46"/>
      <c r="H1" s="46"/>
    </row>
    <row r="2" spans="1:11" s="1" customFormat="1" ht="40.5" customHeight="1">
      <c r="A2" s="93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s="2" customFormat="1" ht="10.15" customHeight="1">
      <c r="A3" s="66" t="s">
        <v>1</v>
      </c>
      <c r="B3" s="62"/>
      <c r="C3" s="19"/>
      <c r="D3" s="19"/>
      <c r="E3" s="19"/>
      <c r="F3" s="19"/>
      <c r="G3" s="8">
        <f ca="1">TODAY()</f>
        <v>46274</v>
      </c>
      <c r="H3" s="88" t="s">
        <v>2</v>
      </c>
      <c r="I3" s="89"/>
      <c r="J3" s="84" t="s">
        <v>3</v>
      </c>
      <c r="K3" s="69"/>
    </row>
    <row r="4" spans="1:11" s="2" customFormat="1" ht="10.15" customHeight="1">
      <c r="A4" s="66" t="s">
        <v>4</v>
      </c>
      <c r="B4" s="62"/>
      <c r="C4" s="19"/>
      <c r="D4" s="19"/>
      <c r="E4" s="19"/>
      <c r="F4" s="19"/>
      <c r="G4" s="41" t="s">
        <v>5</v>
      </c>
      <c r="H4" s="88" t="s">
        <v>6</v>
      </c>
      <c r="I4" s="89"/>
      <c r="J4" s="84" t="s">
        <v>3</v>
      </c>
      <c r="K4" s="69"/>
    </row>
    <row r="5" spans="1:11" s="2" customFormat="1" ht="10.15" customHeight="1">
      <c r="A5" s="66" t="s">
        <v>7</v>
      </c>
      <c r="B5" s="62"/>
      <c r="C5" s="19"/>
      <c r="D5" s="19"/>
      <c r="E5" s="19"/>
      <c r="F5" s="19"/>
      <c r="G5" s="28" t="s">
        <v>8</v>
      </c>
      <c r="H5" s="88" t="s">
        <v>9</v>
      </c>
      <c r="I5" s="89"/>
      <c r="J5" s="84" t="s">
        <v>3</v>
      </c>
      <c r="K5" s="69"/>
    </row>
    <row r="6" spans="1:11" s="2" customFormat="1" ht="10.15" customHeight="1">
      <c r="A6" s="66" t="s">
        <v>10</v>
      </c>
      <c r="B6" s="62"/>
      <c r="C6" s="19"/>
      <c r="D6" s="19"/>
      <c r="E6" s="19"/>
      <c r="F6" s="19"/>
      <c r="G6" s="9"/>
      <c r="H6" s="88" t="s">
        <v>11</v>
      </c>
      <c r="I6" s="89"/>
      <c r="J6" s="84" t="s">
        <v>3</v>
      </c>
      <c r="K6" s="69"/>
    </row>
    <row r="7" spans="1:11" s="2" customFormat="1" ht="10.5" customHeight="1">
      <c r="A7" s="66" t="s">
        <v>12</v>
      </c>
      <c r="B7" s="62"/>
      <c r="C7" s="19"/>
      <c r="D7" s="19"/>
      <c r="E7" s="19"/>
      <c r="F7" s="19"/>
      <c r="G7" s="9" t="s">
        <v>13</v>
      </c>
      <c r="H7" s="88" t="s">
        <v>14</v>
      </c>
      <c r="I7" s="89"/>
      <c r="J7" s="84" t="s">
        <v>3</v>
      </c>
      <c r="K7" s="69"/>
    </row>
    <row r="8" spans="1:11" s="2" customFormat="1" ht="10.5" customHeight="1">
      <c r="A8" s="66" t="s">
        <v>15</v>
      </c>
      <c r="B8" s="62"/>
      <c r="C8" s="19"/>
      <c r="D8" s="19"/>
      <c r="E8" s="19"/>
      <c r="F8" s="19"/>
      <c r="G8" s="30"/>
      <c r="H8" s="88" t="s">
        <v>16</v>
      </c>
      <c r="I8" s="89"/>
      <c r="J8" s="84"/>
      <c r="K8" s="69"/>
    </row>
    <row r="9" spans="1:11" s="2" customFormat="1" ht="30" customHeight="1">
      <c r="A9" s="66" t="s">
        <v>17</v>
      </c>
      <c r="B9" s="62"/>
      <c r="C9" s="19"/>
      <c r="D9" s="19"/>
      <c r="E9" s="19"/>
      <c r="F9" s="19"/>
      <c r="G9" s="35" t="s">
        <v>92</v>
      </c>
      <c r="H9" s="88" t="s">
        <v>18</v>
      </c>
      <c r="I9" s="89"/>
      <c r="J9" s="60" t="s">
        <v>94</v>
      </c>
      <c r="K9" s="61"/>
    </row>
    <row r="10" spans="1:11" s="2" customFormat="1" ht="27.75" customHeight="1">
      <c r="A10" s="66" t="s">
        <v>19</v>
      </c>
      <c r="B10" s="62"/>
      <c r="C10" s="19"/>
      <c r="D10" s="19"/>
      <c r="E10" s="19"/>
      <c r="F10" s="19"/>
      <c r="G10" s="47" t="s">
        <v>91</v>
      </c>
      <c r="H10" s="88" t="s">
        <v>20</v>
      </c>
      <c r="I10" s="89"/>
      <c r="J10" s="84"/>
      <c r="K10" s="69"/>
    </row>
    <row r="11" spans="1:11" s="2" customFormat="1" ht="15.75" customHeight="1">
      <c r="A11" s="66" t="s">
        <v>21</v>
      </c>
      <c r="B11" s="62"/>
      <c r="C11" s="19"/>
      <c r="D11" s="19"/>
      <c r="E11" s="19"/>
      <c r="F11" s="19"/>
      <c r="G11" s="36" t="s">
        <v>93</v>
      </c>
      <c r="H11" s="88" t="s">
        <v>22</v>
      </c>
      <c r="I11" s="89"/>
      <c r="J11" s="60" t="s">
        <v>94</v>
      </c>
      <c r="K11" s="61"/>
    </row>
    <row r="12" spans="1:11" s="2" customFormat="1" ht="10.5" customHeight="1">
      <c r="A12" s="66" t="s">
        <v>23</v>
      </c>
      <c r="B12" s="62"/>
      <c r="C12" s="19"/>
      <c r="D12" s="19"/>
      <c r="E12" s="19"/>
      <c r="F12" s="19"/>
      <c r="G12" s="36"/>
      <c r="H12" s="96"/>
      <c r="I12" s="97"/>
      <c r="J12" s="84"/>
      <c r="K12" s="69"/>
    </row>
    <row r="13" spans="1:11" s="2" customFormat="1" ht="10.15" customHeight="1">
      <c r="A13" s="104"/>
      <c r="B13" s="83"/>
      <c r="C13" s="83"/>
      <c r="D13" s="83"/>
      <c r="E13" s="83"/>
      <c r="F13" s="83"/>
      <c r="G13" s="83"/>
      <c r="H13" s="83"/>
      <c r="I13" s="83"/>
      <c r="J13" s="83"/>
      <c r="K13" s="87"/>
    </row>
    <row r="14" spans="1:11" s="65" customFormat="1" ht="24.75" customHeight="1">
      <c r="A14" s="64" t="s">
        <v>24</v>
      </c>
      <c r="B14" s="64" t="s">
        <v>25</v>
      </c>
      <c r="C14" s="64" t="s">
        <v>26</v>
      </c>
      <c r="D14" s="64" t="s">
        <v>27</v>
      </c>
      <c r="E14" s="64" t="s">
        <v>28</v>
      </c>
      <c r="F14" s="64" t="s">
        <v>29</v>
      </c>
      <c r="G14" s="64" t="s">
        <v>30</v>
      </c>
      <c r="H14" s="64" t="s">
        <v>31</v>
      </c>
      <c r="I14" s="64" t="s">
        <v>32</v>
      </c>
      <c r="J14" s="64" t="s">
        <v>33</v>
      </c>
      <c r="K14" s="64" t="s">
        <v>34</v>
      </c>
    </row>
    <row r="15" spans="1:11" s="3" customFormat="1" ht="10.5" customHeight="1">
      <c r="A15" s="43">
        <v>1</v>
      </c>
      <c r="B15" s="43" t="s">
        <v>95</v>
      </c>
      <c r="C15" s="43">
        <v>2076603</v>
      </c>
      <c r="D15" s="43">
        <v>1020</v>
      </c>
      <c r="E15" s="43">
        <v>1100</v>
      </c>
      <c r="F15" s="43" t="s">
        <v>149</v>
      </c>
      <c r="G15" s="43" t="s">
        <v>96</v>
      </c>
      <c r="H15" s="63"/>
      <c r="I15" s="43">
        <v>1</v>
      </c>
      <c r="J15" s="43" t="s">
        <v>97</v>
      </c>
      <c r="K15" s="59"/>
    </row>
    <row r="16" spans="1:11" s="3" customFormat="1" ht="10.5" customHeight="1">
      <c r="A16" s="43">
        <v>2</v>
      </c>
      <c r="B16" s="43" t="s">
        <v>98</v>
      </c>
      <c r="C16" s="43" t="s">
        <v>99</v>
      </c>
      <c r="D16" s="43" t="s">
        <v>89</v>
      </c>
      <c r="E16" s="43" t="s">
        <v>89</v>
      </c>
      <c r="F16" s="43" t="s">
        <v>149</v>
      </c>
      <c r="G16" s="43" t="s">
        <v>100</v>
      </c>
      <c r="H16" s="63"/>
      <c r="I16" s="43">
        <v>1</v>
      </c>
      <c r="J16" s="43" t="s">
        <v>97</v>
      </c>
      <c r="K16" s="59"/>
    </row>
    <row r="17" spans="1:19" s="3" customFormat="1" ht="10.5" customHeight="1">
      <c r="A17" s="43">
        <v>3</v>
      </c>
      <c r="B17" s="43" t="s">
        <v>101</v>
      </c>
      <c r="C17" s="43" t="s">
        <v>99</v>
      </c>
      <c r="D17" s="43" t="s">
        <v>89</v>
      </c>
      <c r="E17" s="43" t="s">
        <v>89</v>
      </c>
      <c r="F17" s="43" t="s">
        <v>149</v>
      </c>
      <c r="G17" s="43" t="s">
        <v>102</v>
      </c>
      <c r="H17" s="63"/>
      <c r="I17" s="43">
        <v>1</v>
      </c>
      <c r="J17" s="43" t="s">
        <v>97</v>
      </c>
      <c r="K17" s="59"/>
    </row>
    <row r="18" spans="1:19" s="3" customFormat="1" ht="10.5" customHeight="1">
      <c r="A18" s="43">
        <v>4</v>
      </c>
      <c r="B18" s="43" t="s">
        <v>103</v>
      </c>
      <c r="C18" s="43" t="s">
        <v>99</v>
      </c>
      <c r="D18" s="43" t="s">
        <v>89</v>
      </c>
      <c r="E18" s="43" t="s">
        <v>89</v>
      </c>
      <c r="F18" s="43" t="s">
        <v>149</v>
      </c>
      <c r="G18" s="43" t="s">
        <v>104</v>
      </c>
      <c r="H18" s="63"/>
      <c r="I18" s="43">
        <v>2</v>
      </c>
      <c r="J18" s="43" t="s">
        <v>97</v>
      </c>
      <c r="K18" s="59"/>
    </row>
    <row r="19" spans="1:19" s="3" customFormat="1" ht="10.5" customHeight="1">
      <c r="A19" s="43">
        <v>5</v>
      </c>
      <c r="B19" s="43" t="s">
        <v>105</v>
      </c>
      <c r="C19" s="43" t="s">
        <v>99</v>
      </c>
      <c r="D19" s="43" t="s">
        <v>89</v>
      </c>
      <c r="E19" s="43" t="s">
        <v>89</v>
      </c>
      <c r="F19" s="43" t="s">
        <v>149</v>
      </c>
      <c r="G19" s="43" t="s">
        <v>106</v>
      </c>
      <c r="H19" s="63"/>
      <c r="I19" s="43">
        <v>1</v>
      </c>
      <c r="J19" s="43" t="s">
        <v>97</v>
      </c>
      <c r="K19" s="59"/>
    </row>
    <row r="20" spans="1:19" s="3" customFormat="1" ht="10.5" customHeight="1">
      <c r="A20" s="43">
        <v>6</v>
      </c>
      <c r="B20" s="43">
        <v>29080346</v>
      </c>
      <c r="C20" s="43" t="s">
        <v>99</v>
      </c>
      <c r="D20" s="43" t="s">
        <v>89</v>
      </c>
      <c r="E20" s="43" t="s">
        <v>89</v>
      </c>
      <c r="F20" s="43" t="s">
        <v>149</v>
      </c>
      <c r="G20" s="43" t="s">
        <v>107</v>
      </c>
      <c r="H20" s="63"/>
      <c r="I20" s="43">
        <v>1</v>
      </c>
      <c r="J20" s="43" t="s">
        <v>97</v>
      </c>
      <c r="K20" s="57"/>
      <c r="L20" s="56"/>
    </row>
    <row r="21" spans="1:19" s="3" customFormat="1" ht="10.5" customHeight="1">
      <c r="A21" s="43">
        <v>7</v>
      </c>
      <c r="B21" s="43" t="s">
        <v>108</v>
      </c>
      <c r="C21" s="43">
        <v>2393365</v>
      </c>
      <c r="D21" s="43">
        <v>1020</v>
      </c>
      <c r="E21" s="43">
        <v>1100</v>
      </c>
      <c r="F21" s="43" t="s">
        <v>149</v>
      </c>
      <c r="G21" s="43" t="s">
        <v>109</v>
      </c>
      <c r="H21" s="63"/>
      <c r="I21" s="43">
        <v>1</v>
      </c>
      <c r="J21" s="43" t="s">
        <v>97</v>
      </c>
      <c r="K21" s="58"/>
      <c r="L21" s="56"/>
    </row>
    <row r="22" spans="1:19" s="3" customFormat="1" ht="10.5" customHeight="1">
      <c r="A22" s="43">
        <v>8</v>
      </c>
      <c r="B22" s="43" t="s">
        <v>110</v>
      </c>
      <c r="C22" s="43" t="s">
        <v>99</v>
      </c>
      <c r="D22" s="43" t="s">
        <v>89</v>
      </c>
      <c r="E22" s="43" t="s">
        <v>89</v>
      </c>
      <c r="F22" s="43" t="s">
        <v>149</v>
      </c>
      <c r="G22" s="43" t="s">
        <v>111</v>
      </c>
      <c r="H22" s="63"/>
      <c r="I22" s="43">
        <v>2</v>
      </c>
      <c r="J22" s="43" t="s">
        <v>90</v>
      </c>
      <c r="K22" s="59"/>
    </row>
    <row r="23" spans="1:19" s="3" customFormat="1" ht="10.5" customHeight="1">
      <c r="A23" s="43">
        <v>9</v>
      </c>
      <c r="B23" s="43" t="s">
        <v>112</v>
      </c>
      <c r="C23" s="43" t="s">
        <v>99</v>
      </c>
      <c r="D23" s="43" t="s">
        <v>89</v>
      </c>
      <c r="E23" s="43" t="s">
        <v>89</v>
      </c>
      <c r="F23" s="43" t="s">
        <v>149</v>
      </c>
      <c r="G23" s="43" t="s">
        <v>113</v>
      </c>
      <c r="H23" s="63"/>
      <c r="I23" s="43">
        <v>2</v>
      </c>
      <c r="J23" s="43" t="s">
        <v>90</v>
      </c>
      <c r="K23" s="59"/>
    </row>
    <row r="24" spans="1:19" s="3" customFormat="1" ht="10.5" customHeight="1">
      <c r="A24" s="43">
        <v>11</v>
      </c>
      <c r="B24" s="43">
        <v>2122720</v>
      </c>
      <c r="C24" s="43">
        <v>2089980</v>
      </c>
      <c r="D24" s="43">
        <v>1020</v>
      </c>
      <c r="E24" s="43">
        <v>1100</v>
      </c>
      <c r="F24" s="43" t="s">
        <v>149</v>
      </c>
      <c r="G24" s="43" t="s">
        <v>114</v>
      </c>
      <c r="H24" s="63"/>
      <c r="I24" s="43">
        <v>1</v>
      </c>
      <c r="J24" s="43" t="s">
        <v>97</v>
      </c>
      <c r="K24" s="59"/>
    </row>
    <row r="25" spans="1:19" s="3" customFormat="1" ht="10.5" customHeight="1">
      <c r="A25" s="43">
        <v>12</v>
      </c>
      <c r="B25" s="43">
        <v>25030638</v>
      </c>
      <c r="C25" s="43" t="s">
        <v>99</v>
      </c>
      <c r="D25" s="43" t="s">
        <v>89</v>
      </c>
      <c r="E25" s="43" t="s">
        <v>89</v>
      </c>
      <c r="F25" s="43" t="s">
        <v>149</v>
      </c>
      <c r="G25" s="43" t="s">
        <v>115</v>
      </c>
      <c r="H25" s="63"/>
      <c r="I25" s="43">
        <v>2</v>
      </c>
      <c r="J25" s="43" t="s">
        <v>90</v>
      </c>
      <c r="K25" s="59"/>
    </row>
    <row r="26" spans="1:19" s="3" customFormat="1" ht="10.5" customHeight="1">
      <c r="A26" s="43">
        <v>13</v>
      </c>
      <c r="B26" s="43">
        <v>25030695</v>
      </c>
      <c r="C26" s="43" t="s">
        <v>99</v>
      </c>
      <c r="D26" s="43" t="s">
        <v>89</v>
      </c>
      <c r="E26" s="43" t="s">
        <v>89</v>
      </c>
      <c r="F26" s="43" t="s">
        <v>149</v>
      </c>
      <c r="G26" s="43" t="s">
        <v>116</v>
      </c>
      <c r="H26" s="63"/>
      <c r="I26" s="43">
        <v>2</v>
      </c>
      <c r="J26" s="43" t="s">
        <v>90</v>
      </c>
      <c r="K26" s="59"/>
      <c r="S26">
        <v>0</v>
      </c>
    </row>
    <row r="27" spans="1:19" s="3" customFormat="1" ht="10.5" customHeight="1">
      <c r="A27" s="43">
        <v>14</v>
      </c>
      <c r="B27" s="43" t="s">
        <v>117</v>
      </c>
      <c r="C27" s="43" t="s">
        <v>118</v>
      </c>
      <c r="D27" s="43">
        <v>1020</v>
      </c>
      <c r="E27" s="43">
        <v>1100</v>
      </c>
      <c r="F27" s="43" t="s">
        <v>149</v>
      </c>
      <c r="G27" s="43" t="s">
        <v>119</v>
      </c>
      <c r="H27" s="63"/>
      <c r="I27" s="43">
        <v>1</v>
      </c>
      <c r="J27" s="43" t="s">
        <v>97</v>
      </c>
      <c r="K27" s="59"/>
      <c r="S27">
        <v>0</v>
      </c>
    </row>
    <row r="28" spans="1:19" s="3" customFormat="1" ht="10.9" customHeight="1">
      <c r="A28" s="43">
        <v>15</v>
      </c>
      <c r="B28" s="43" t="s">
        <v>120</v>
      </c>
      <c r="C28" s="43" t="s">
        <v>99</v>
      </c>
      <c r="D28" s="43" t="s">
        <v>89</v>
      </c>
      <c r="E28" s="43" t="s">
        <v>89</v>
      </c>
      <c r="F28" s="43" t="s">
        <v>149</v>
      </c>
      <c r="G28" s="43" t="s">
        <v>121</v>
      </c>
      <c r="H28" s="63"/>
      <c r="I28" s="43">
        <v>1</v>
      </c>
      <c r="J28" s="43" t="s">
        <v>97</v>
      </c>
      <c r="K28" s="29"/>
    </row>
    <row r="29" spans="1:19" s="3" customFormat="1" ht="10.9" customHeight="1">
      <c r="A29" s="43">
        <v>16</v>
      </c>
      <c r="B29" s="43">
        <v>3058626</v>
      </c>
      <c r="C29" s="43">
        <v>2089883</v>
      </c>
      <c r="D29" s="43">
        <v>1020</v>
      </c>
      <c r="E29" s="43">
        <v>1100</v>
      </c>
      <c r="F29" s="43" t="s">
        <v>149</v>
      </c>
      <c r="G29" s="43" t="s">
        <v>122</v>
      </c>
      <c r="H29" s="63"/>
      <c r="I29" s="43">
        <v>1</v>
      </c>
      <c r="J29" s="43" t="s">
        <v>97</v>
      </c>
      <c r="K29" s="15"/>
    </row>
    <row r="30" spans="1:19" s="3" customFormat="1" ht="10.9" customHeight="1">
      <c r="A30" s="43">
        <v>17</v>
      </c>
      <c r="B30" s="43" t="s">
        <v>123</v>
      </c>
      <c r="C30" s="43">
        <v>2071353</v>
      </c>
      <c r="D30" s="43">
        <v>1020</v>
      </c>
      <c r="E30" s="43">
        <v>1100</v>
      </c>
      <c r="F30" s="43" t="s">
        <v>149</v>
      </c>
      <c r="G30" s="43" t="s">
        <v>124</v>
      </c>
      <c r="H30" s="63"/>
      <c r="I30" s="43">
        <v>1</v>
      </c>
      <c r="J30" s="43" t="s">
        <v>97</v>
      </c>
      <c r="K30" s="59"/>
    </row>
    <row r="31" spans="1:19" s="3" customFormat="1" ht="10.9" customHeight="1">
      <c r="A31" s="43">
        <v>18</v>
      </c>
      <c r="B31" s="43" t="s">
        <v>125</v>
      </c>
      <c r="C31" s="43">
        <v>2107006</v>
      </c>
      <c r="D31" s="43">
        <v>1020</v>
      </c>
      <c r="E31" s="43">
        <v>1100</v>
      </c>
      <c r="F31" s="43" t="s">
        <v>149</v>
      </c>
      <c r="G31" s="43" t="s">
        <v>126</v>
      </c>
      <c r="H31" s="63"/>
      <c r="I31" s="43">
        <v>3</v>
      </c>
      <c r="J31" s="43" t="s">
        <v>97</v>
      </c>
      <c r="K31" s="15"/>
    </row>
    <row r="32" spans="1:19" s="3" customFormat="1" ht="10.9" customHeight="1">
      <c r="A32" s="43">
        <v>19</v>
      </c>
      <c r="B32" s="43" t="s">
        <v>127</v>
      </c>
      <c r="C32" s="43" t="s">
        <v>99</v>
      </c>
      <c r="D32" s="43" t="s">
        <v>89</v>
      </c>
      <c r="E32" s="43" t="s">
        <v>89</v>
      </c>
      <c r="F32" s="43" t="s">
        <v>149</v>
      </c>
      <c r="G32" s="43" t="s">
        <v>128</v>
      </c>
      <c r="H32" s="63"/>
      <c r="I32" s="43">
        <v>126</v>
      </c>
      <c r="J32" s="43" t="s">
        <v>90</v>
      </c>
      <c r="K32" s="15"/>
    </row>
    <row r="33" spans="1:13" s="3" customFormat="1" ht="10.9" customHeight="1">
      <c r="A33" s="43">
        <v>20</v>
      </c>
      <c r="B33" s="43" t="s">
        <v>129</v>
      </c>
      <c r="C33" s="43">
        <v>2106581</v>
      </c>
      <c r="D33" s="43">
        <v>1020</v>
      </c>
      <c r="E33" s="43">
        <v>1100</v>
      </c>
      <c r="F33" s="43" t="s">
        <v>149</v>
      </c>
      <c r="G33" s="43" t="s">
        <v>130</v>
      </c>
      <c r="H33" s="63"/>
      <c r="I33" s="43">
        <v>1</v>
      </c>
      <c r="J33" s="43" t="s">
        <v>97</v>
      </c>
      <c r="K33" s="15"/>
    </row>
    <row r="34" spans="1:13" s="3" customFormat="1" ht="10.9" customHeight="1">
      <c r="A34" s="43">
        <v>21</v>
      </c>
      <c r="B34" s="43">
        <v>25033535</v>
      </c>
      <c r="C34" s="43" t="s">
        <v>99</v>
      </c>
      <c r="D34" s="43" t="s">
        <v>89</v>
      </c>
      <c r="E34" s="43" t="s">
        <v>89</v>
      </c>
      <c r="F34" s="43" t="s">
        <v>149</v>
      </c>
      <c r="G34" s="43" t="s">
        <v>131</v>
      </c>
      <c r="H34" s="63"/>
      <c r="I34" s="43">
        <v>42</v>
      </c>
      <c r="J34" s="43" t="s">
        <v>90</v>
      </c>
      <c r="K34" s="15"/>
    </row>
    <row r="35" spans="1:13" s="3" customFormat="1" ht="10.9" customHeight="1">
      <c r="A35" s="43">
        <v>22</v>
      </c>
      <c r="B35" s="43" t="s">
        <v>132</v>
      </c>
      <c r="C35" s="43" t="s">
        <v>133</v>
      </c>
      <c r="D35" s="43">
        <v>1020</v>
      </c>
      <c r="E35" s="43">
        <v>1100</v>
      </c>
      <c r="F35" s="43" t="s">
        <v>149</v>
      </c>
      <c r="G35" s="43" t="s">
        <v>134</v>
      </c>
      <c r="H35" s="63"/>
      <c r="I35" s="43">
        <v>3</v>
      </c>
      <c r="J35" s="43" t="s">
        <v>97</v>
      </c>
      <c r="K35" s="15"/>
    </row>
    <row r="36" spans="1:13" s="3" customFormat="1" ht="10.9" customHeight="1">
      <c r="A36" s="43">
        <v>27</v>
      </c>
      <c r="B36" s="43" t="s">
        <v>135</v>
      </c>
      <c r="C36" s="43" t="s">
        <v>99</v>
      </c>
      <c r="D36" s="43" t="s">
        <v>89</v>
      </c>
      <c r="E36" s="43" t="s">
        <v>89</v>
      </c>
      <c r="F36" s="43" t="s">
        <v>149</v>
      </c>
      <c r="G36" s="43" t="s">
        <v>136</v>
      </c>
      <c r="H36" s="63"/>
      <c r="I36" s="43">
        <v>3</v>
      </c>
      <c r="J36" s="43" t="s">
        <v>97</v>
      </c>
      <c r="K36" s="15"/>
    </row>
    <row r="37" spans="1:13" s="3" customFormat="1" ht="10.9" customHeight="1">
      <c r="A37" s="43">
        <v>28</v>
      </c>
      <c r="B37" s="43">
        <v>4070097</v>
      </c>
      <c r="C37" s="43" t="s">
        <v>99</v>
      </c>
      <c r="D37" s="43" t="s">
        <v>89</v>
      </c>
      <c r="E37" s="43" t="s">
        <v>89</v>
      </c>
      <c r="F37" s="43" t="s">
        <v>149</v>
      </c>
      <c r="G37" s="43" t="s">
        <v>137</v>
      </c>
      <c r="H37" s="63"/>
      <c r="I37" s="43">
        <v>3</v>
      </c>
      <c r="J37" s="43" t="s">
        <v>97</v>
      </c>
      <c r="K37" s="15"/>
    </row>
    <row r="38" spans="1:13" s="3" customFormat="1" ht="10.9" customHeight="1">
      <c r="A38" s="43">
        <v>30</v>
      </c>
      <c r="B38" s="43" t="s">
        <v>138</v>
      </c>
      <c r="C38" s="43">
        <v>2107845</v>
      </c>
      <c r="D38" s="43">
        <v>1020</v>
      </c>
      <c r="E38" s="43">
        <v>1100</v>
      </c>
      <c r="F38" s="43" t="s">
        <v>149</v>
      </c>
      <c r="G38" s="43" t="s">
        <v>139</v>
      </c>
      <c r="H38" s="63"/>
      <c r="I38" s="43">
        <v>14</v>
      </c>
      <c r="J38" s="43" t="s">
        <v>97</v>
      </c>
      <c r="K38" s="15"/>
    </row>
    <row r="39" spans="1:13" s="3" customFormat="1" ht="10.9" customHeight="1">
      <c r="A39" s="43">
        <v>31</v>
      </c>
      <c r="B39" s="43"/>
      <c r="C39" s="43">
        <v>2099515</v>
      </c>
      <c r="D39" s="43">
        <v>1020</v>
      </c>
      <c r="E39" s="43">
        <v>1100</v>
      </c>
      <c r="F39" s="43" t="s">
        <v>149</v>
      </c>
      <c r="G39" s="43" t="s">
        <v>140</v>
      </c>
      <c r="H39" s="63"/>
      <c r="I39" s="43">
        <v>2</v>
      </c>
      <c r="J39" s="43" t="s">
        <v>97</v>
      </c>
      <c r="K39" s="14"/>
    </row>
    <row r="40" spans="1:13" s="3" customFormat="1" ht="10.9" customHeight="1">
      <c r="A40" s="43">
        <v>32</v>
      </c>
      <c r="B40" s="43">
        <v>25030429</v>
      </c>
      <c r="C40" s="43" t="s">
        <v>99</v>
      </c>
      <c r="D40" s="43" t="s">
        <v>89</v>
      </c>
      <c r="E40" s="43" t="s">
        <v>89</v>
      </c>
      <c r="F40" s="43" t="s">
        <v>149</v>
      </c>
      <c r="G40" s="43" t="s">
        <v>141</v>
      </c>
      <c r="H40" s="63"/>
      <c r="I40" s="43">
        <v>8</v>
      </c>
      <c r="J40" s="43" t="s">
        <v>90</v>
      </c>
      <c r="K40" s="55"/>
      <c r="L40" s="55"/>
      <c r="M40" s="2"/>
    </row>
    <row r="41" spans="1:13" s="3" customFormat="1" ht="10.9" customHeight="1">
      <c r="A41" s="43">
        <v>33</v>
      </c>
      <c r="B41" s="43">
        <v>14130645</v>
      </c>
      <c r="C41" s="43">
        <v>2089872</v>
      </c>
      <c r="D41" s="43">
        <v>1020</v>
      </c>
      <c r="E41" s="43">
        <v>1100</v>
      </c>
      <c r="F41" s="43" t="s">
        <v>149</v>
      </c>
      <c r="G41" s="43" t="s">
        <v>142</v>
      </c>
      <c r="H41" s="63"/>
      <c r="I41" s="43">
        <v>4</v>
      </c>
      <c r="J41" s="43" t="s">
        <v>97</v>
      </c>
      <c r="K41" s="55"/>
      <c r="L41" s="55"/>
      <c r="M41" s="2"/>
    </row>
    <row r="42" spans="1:13" s="3" customFormat="1" ht="10.9" customHeight="1">
      <c r="A42" s="43">
        <v>34</v>
      </c>
      <c r="B42" s="43" t="s">
        <v>143</v>
      </c>
      <c r="C42" s="43" t="s">
        <v>99</v>
      </c>
      <c r="D42" s="43" t="s">
        <v>89</v>
      </c>
      <c r="E42" s="43" t="s">
        <v>89</v>
      </c>
      <c r="F42" s="43" t="s">
        <v>149</v>
      </c>
      <c r="G42" s="43" t="s">
        <v>144</v>
      </c>
      <c r="H42" s="63"/>
      <c r="I42" s="43">
        <v>8</v>
      </c>
      <c r="J42" s="43" t="s">
        <v>97</v>
      </c>
      <c r="K42" s="55"/>
      <c r="L42" s="55"/>
      <c r="M42" s="2"/>
    </row>
    <row r="43" spans="1:13" s="3" customFormat="1" ht="10.9" customHeight="1">
      <c r="A43" s="43">
        <v>35</v>
      </c>
      <c r="B43" s="43" t="s">
        <v>145</v>
      </c>
      <c r="C43" s="43" t="s">
        <v>99</v>
      </c>
      <c r="D43" s="43" t="s">
        <v>89</v>
      </c>
      <c r="E43" s="43" t="s">
        <v>89</v>
      </c>
      <c r="F43" s="43" t="s">
        <v>149</v>
      </c>
      <c r="G43" s="43" t="s">
        <v>146</v>
      </c>
      <c r="H43" s="63"/>
      <c r="I43" s="43">
        <v>40</v>
      </c>
      <c r="J43" s="43" t="s">
        <v>97</v>
      </c>
      <c r="K43" s="55"/>
      <c r="L43" s="55"/>
      <c r="M43" s="2"/>
    </row>
    <row r="44" spans="1:13" s="3" customFormat="1" ht="10.9" customHeight="1">
      <c r="A44" s="43">
        <v>36</v>
      </c>
      <c r="B44" s="43" t="s">
        <v>147</v>
      </c>
      <c r="C44" s="43">
        <v>2296784</v>
      </c>
      <c r="D44" s="43">
        <v>1020</v>
      </c>
      <c r="E44" s="43">
        <v>1100</v>
      </c>
      <c r="F44" s="43" t="s">
        <v>149</v>
      </c>
      <c r="G44" s="43" t="s">
        <v>148</v>
      </c>
      <c r="H44" s="63"/>
      <c r="I44" s="43">
        <v>1</v>
      </c>
      <c r="J44" s="43" t="s">
        <v>97</v>
      </c>
      <c r="K44" s="55"/>
      <c r="L44" s="55"/>
      <c r="M44" s="2"/>
    </row>
    <row r="45" spans="1:13" s="3" customFormat="1" ht="14.25" customHeight="1">
      <c r="A45" s="44">
        <v>37</v>
      </c>
      <c r="B45" s="11"/>
      <c r="C45" s="32"/>
      <c r="D45" s="33"/>
      <c r="E45" s="33"/>
      <c r="F45" s="33"/>
      <c r="G45" s="32"/>
      <c r="H45" s="34"/>
      <c r="I45" s="31"/>
      <c r="J45" s="63"/>
      <c r="K45" s="14"/>
    </row>
    <row r="46" spans="1:13" s="3" customFormat="1" ht="9.75" customHeight="1">
      <c r="A46" s="54">
        <v>38</v>
      </c>
      <c r="B46" s="11"/>
      <c r="C46" s="32"/>
      <c r="D46" s="33"/>
      <c r="E46" s="33"/>
      <c r="F46" s="33"/>
      <c r="G46" s="32"/>
      <c r="H46" s="34"/>
      <c r="I46" s="31"/>
      <c r="J46" s="63"/>
      <c r="K46" s="14"/>
    </row>
    <row r="47" spans="1:13" s="2" customFormat="1" ht="30.75" customHeight="1">
      <c r="A47" s="75" t="s">
        <v>35</v>
      </c>
      <c r="B47" s="68"/>
      <c r="C47" s="68"/>
      <c r="D47" s="68"/>
      <c r="E47" s="68"/>
      <c r="F47" s="68"/>
      <c r="G47" s="68"/>
      <c r="H47" s="68"/>
      <c r="I47" s="68"/>
      <c r="J47" s="68"/>
      <c r="K47" s="69"/>
    </row>
    <row r="48" spans="1:13" s="2" customFormat="1" ht="10.5" customHeight="1">
      <c r="A48" s="72" t="s">
        <v>36</v>
      </c>
      <c r="B48" s="73"/>
      <c r="C48" s="19"/>
      <c r="D48" s="19"/>
      <c r="E48" s="19"/>
      <c r="F48" s="19"/>
      <c r="G48" s="12"/>
      <c r="H48" s="90" t="s">
        <v>37</v>
      </c>
      <c r="I48" s="91"/>
      <c r="J48" s="19"/>
      <c r="K48" s="13"/>
    </row>
    <row r="49" spans="1:11" s="2" customFormat="1" ht="10.5" customHeight="1">
      <c r="A49" s="72" t="s">
        <v>38</v>
      </c>
      <c r="B49" s="73"/>
      <c r="C49" s="19"/>
      <c r="D49" s="19"/>
      <c r="E49" s="19"/>
      <c r="F49" s="19"/>
      <c r="G49" s="48"/>
      <c r="H49" s="90" t="s">
        <v>39</v>
      </c>
      <c r="I49" s="91"/>
      <c r="J49" s="19"/>
      <c r="K49" s="16"/>
    </row>
    <row r="50" spans="1:11" s="2" customFormat="1" ht="10.5" customHeight="1">
      <c r="A50" s="72" t="s">
        <v>40</v>
      </c>
      <c r="B50" s="73"/>
      <c r="C50" s="19"/>
      <c r="D50" s="19"/>
      <c r="E50" s="19"/>
      <c r="F50" s="19"/>
      <c r="G50" s="49"/>
      <c r="H50" s="90" t="s">
        <v>41</v>
      </c>
      <c r="I50" s="91"/>
      <c r="J50" s="19"/>
      <c r="K50" s="24"/>
    </row>
    <row r="51" spans="1:11" s="2" customFormat="1" ht="10.5" customHeight="1">
      <c r="A51" s="72" t="s">
        <v>42</v>
      </c>
      <c r="B51" s="73"/>
      <c r="C51" s="19"/>
      <c r="D51" s="19"/>
      <c r="E51" s="19"/>
      <c r="F51" s="19"/>
      <c r="G51" s="49"/>
      <c r="H51" s="90" t="s">
        <v>43</v>
      </c>
      <c r="I51" s="91"/>
      <c r="J51" s="19"/>
      <c r="K51" s="24"/>
    </row>
    <row r="52" spans="1:11" s="2" customFormat="1" ht="10.5" customHeight="1">
      <c r="A52" s="72" t="s">
        <v>44</v>
      </c>
      <c r="B52" s="73"/>
      <c r="C52" s="19"/>
      <c r="D52" s="19"/>
      <c r="E52" s="19"/>
      <c r="F52" s="19"/>
      <c r="G52" s="49"/>
      <c r="H52" s="90" t="s">
        <v>45</v>
      </c>
      <c r="I52" s="91"/>
      <c r="J52" s="19"/>
      <c r="K52" s="24"/>
    </row>
    <row r="53" spans="1:11" s="2" customFormat="1" ht="10.5" customHeight="1">
      <c r="A53" s="72" t="s">
        <v>46</v>
      </c>
      <c r="B53" s="73"/>
      <c r="C53" s="19"/>
      <c r="D53" s="19"/>
      <c r="E53" s="19"/>
      <c r="F53" s="19"/>
      <c r="G53" s="42"/>
      <c r="H53" s="90" t="s">
        <v>47</v>
      </c>
      <c r="I53" s="91"/>
      <c r="J53" s="19"/>
      <c r="K53" s="24"/>
    </row>
    <row r="54" spans="1:11" s="2" customFormat="1" ht="10.5" customHeight="1">
      <c r="A54" s="72" t="s">
        <v>48</v>
      </c>
      <c r="B54" s="73"/>
      <c r="C54" s="19"/>
      <c r="D54" s="19"/>
      <c r="E54" s="19"/>
      <c r="F54" s="19"/>
      <c r="G54" s="42"/>
      <c r="H54" s="90" t="s">
        <v>49</v>
      </c>
      <c r="I54" s="91"/>
      <c r="J54" s="19"/>
      <c r="K54" s="24"/>
    </row>
    <row r="55" spans="1:11" s="2" customFormat="1" ht="10.5" customHeight="1">
      <c r="A55" s="37" t="s">
        <v>50</v>
      </c>
      <c r="B55" s="19"/>
      <c r="C55" s="19"/>
      <c r="D55" s="19"/>
      <c r="E55" s="19"/>
      <c r="F55" s="19"/>
      <c r="G55" s="42"/>
      <c r="H55" s="90" t="s">
        <v>51</v>
      </c>
      <c r="I55" s="91"/>
      <c r="J55" s="19"/>
      <c r="K55" s="24"/>
    </row>
    <row r="56" spans="1:11" s="2" customFormat="1" ht="10.5" customHeight="1">
      <c r="A56" s="72" t="s">
        <v>52</v>
      </c>
      <c r="B56" s="73"/>
      <c r="C56" s="19"/>
      <c r="D56" s="19"/>
      <c r="E56" s="19"/>
      <c r="F56" s="19"/>
      <c r="G56" s="42"/>
      <c r="H56" s="90" t="s">
        <v>53</v>
      </c>
      <c r="I56" s="91"/>
      <c r="J56" s="19"/>
      <c r="K56" s="24"/>
    </row>
    <row r="57" spans="1:11" s="2" customFormat="1" ht="10.5" customHeight="1">
      <c r="A57" s="72" t="s">
        <v>54</v>
      </c>
      <c r="B57" s="73"/>
      <c r="C57" s="19"/>
      <c r="D57" s="19"/>
      <c r="E57" s="19"/>
      <c r="F57" s="19"/>
      <c r="G57" s="42"/>
      <c r="H57" s="19" t="s">
        <v>55</v>
      </c>
      <c r="I57" s="50"/>
      <c r="J57" s="50"/>
      <c r="K57" s="17"/>
    </row>
    <row r="58" spans="1:11" s="2" customFormat="1" ht="10.5" customHeight="1">
      <c r="A58" s="72" t="s">
        <v>56</v>
      </c>
      <c r="B58" s="73"/>
      <c r="C58" s="19"/>
      <c r="D58" s="19"/>
      <c r="E58" s="19"/>
      <c r="F58" s="19"/>
      <c r="G58" s="42"/>
      <c r="H58" s="19" t="s">
        <v>57</v>
      </c>
      <c r="I58" s="50"/>
      <c r="J58" s="50"/>
      <c r="K58" s="17"/>
    </row>
    <row r="59" spans="1:11" s="2" customFormat="1" ht="10.5" customHeight="1">
      <c r="A59" s="72" t="s">
        <v>58</v>
      </c>
      <c r="B59" s="73"/>
      <c r="C59" s="19"/>
      <c r="D59" s="19"/>
      <c r="E59" s="19"/>
      <c r="F59" s="19"/>
      <c r="G59" s="42"/>
      <c r="H59" s="19" t="s">
        <v>59</v>
      </c>
      <c r="I59" s="50"/>
      <c r="J59" s="50"/>
      <c r="K59" s="17"/>
    </row>
    <row r="60" spans="1:11" s="2" customFormat="1" ht="69.75" customHeight="1">
      <c r="A60" s="95" t="s">
        <v>60</v>
      </c>
      <c r="B60" s="73"/>
      <c r="C60" s="19"/>
      <c r="D60" s="19"/>
      <c r="E60" s="19"/>
      <c r="F60" s="19"/>
      <c r="G60" s="36"/>
      <c r="H60" s="19" t="s">
        <v>61</v>
      </c>
      <c r="I60" s="50"/>
      <c r="J60" s="50"/>
      <c r="K60" s="25"/>
    </row>
    <row r="61" spans="1:11" s="2" customFormat="1" ht="58.5" customHeight="1">
      <c r="A61" s="92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1:11" s="2" customFormat="1" ht="39.75" customHeight="1">
      <c r="A62" s="94" t="s">
        <v>62</v>
      </c>
      <c r="B62" s="68"/>
      <c r="C62" s="68"/>
      <c r="D62" s="68"/>
      <c r="E62" s="68"/>
      <c r="F62" s="68"/>
      <c r="G62" s="68"/>
      <c r="H62" s="68"/>
      <c r="I62" s="68"/>
      <c r="J62" s="68"/>
      <c r="K62" s="69"/>
    </row>
    <row r="63" spans="1:11" s="2" customFormat="1" ht="13.5" customHeight="1">
      <c r="A63" s="18" t="s">
        <v>63</v>
      </c>
      <c r="B63" s="19"/>
      <c r="C63" s="19"/>
      <c r="D63" s="19"/>
      <c r="E63" s="19"/>
      <c r="F63" s="19"/>
      <c r="G63" s="12"/>
      <c r="H63" s="76" t="s">
        <v>64</v>
      </c>
      <c r="I63" s="76" t="s">
        <v>65</v>
      </c>
      <c r="J63" s="80"/>
      <c r="K63" s="81"/>
    </row>
    <row r="64" spans="1:11" s="2" customFormat="1" ht="10.5" customHeight="1">
      <c r="A64" s="18" t="s">
        <v>66</v>
      </c>
      <c r="B64" s="19"/>
      <c r="C64" s="19"/>
      <c r="D64" s="19"/>
      <c r="E64" s="19"/>
      <c r="F64" s="19"/>
      <c r="G64" s="20"/>
      <c r="H64" s="77"/>
      <c r="I64" s="85"/>
      <c r="J64" s="73"/>
      <c r="K64" s="71"/>
    </row>
    <row r="65" spans="1:11" s="2" customFormat="1" ht="10.5" customHeight="1">
      <c r="A65" s="74" t="s">
        <v>67</v>
      </c>
      <c r="B65" s="73"/>
      <c r="C65" s="51"/>
      <c r="D65" s="51"/>
      <c r="E65" s="51"/>
      <c r="F65" s="51"/>
      <c r="G65" s="20"/>
      <c r="H65" s="77"/>
      <c r="I65" s="85"/>
      <c r="J65" s="73"/>
      <c r="K65" s="71"/>
    </row>
    <row r="66" spans="1:11" s="2" customFormat="1" ht="10.5" customHeight="1">
      <c r="A66" s="38" t="s">
        <v>68</v>
      </c>
      <c r="B66" s="51"/>
      <c r="C66" s="51"/>
      <c r="D66" s="51"/>
      <c r="E66" s="51"/>
      <c r="F66" s="51"/>
      <c r="G66" s="20"/>
      <c r="H66" s="77"/>
      <c r="I66" s="85"/>
      <c r="J66" s="73"/>
      <c r="K66" s="71"/>
    </row>
    <row r="67" spans="1:11" s="2" customFormat="1" ht="10.5" customHeight="1">
      <c r="A67" s="74" t="s">
        <v>69</v>
      </c>
      <c r="B67" s="73"/>
      <c r="C67" s="51"/>
      <c r="D67" s="51"/>
      <c r="E67" s="51"/>
      <c r="F67" s="51"/>
      <c r="G67" s="20"/>
      <c r="H67" s="77"/>
      <c r="I67" s="85"/>
      <c r="J67" s="73"/>
      <c r="K67" s="71"/>
    </row>
    <row r="68" spans="1:11" s="2" customFormat="1" ht="10.5" customHeight="1">
      <c r="A68" s="74" t="s">
        <v>70</v>
      </c>
      <c r="B68" s="73"/>
      <c r="C68" s="51"/>
      <c r="D68" s="51"/>
      <c r="E68" s="51"/>
      <c r="F68" s="51"/>
      <c r="G68" s="12"/>
      <c r="H68" s="77"/>
      <c r="I68" s="85"/>
      <c r="J68" s="73"/>
      <c r="K68" s="71"/>
    </row>
    <row r="69" spans="1:11" s="2" customFormat="1" ht="10.5" customHeight="1">
      <c r="A69" s="74" t="s">
        <v>48</v>
      </c>
      <c r="B69" s="73"/>
      <c r="C69" s="51"/>
      <c r="D69" s="51"/>
      <c r="E69" s="51"/>
      <c r="F69" s="51"/>
      <c r="G69" s="20"/>
      <c r="H69" s="78"/>
      <c r="I69" s="86"/>
      <c r="J69" s="83"/>
      <c r="K69" s="87"/>
    </row>
    <row r="70" spans="1:11" s="2" customFormat="1" ht="10.5" customHeight="1">
      <c r="A70" s="82"/>
      <c r="B70" s="83"/>
      <c r="C70" s="83"/>
      <c r="D70" s="83"/>
      <c r="E70" s="83"/>
      <c r="F70" s="83"/>
      <c r="G70" s="83"/>
      <c r="H70" s="83"/>
      <c r="I70" s="83"/>
      <c r="J70" s="83"/>
      <c r="K70" s="83"/>
    </row>
    <row r="71" spans="1:11" s="2" customFormat="1" ht="30" customHeight="1">
      <c r="A71" s="75" t="s">
        <v>71</v>
      </c>
      <c r="B71" s="68"/>
      <c r="C71" s="68"/>
      <c r="D71" s="68"/>
      <c r="E71" s="68"/>
      <c r="F71" s="68"/>
      <c r="G71" s="68"/>
      <c r="H71" s="68"/>
      <c r="I71" s="68"/>
      <c r="J71" s="68"/>
      <c r="K71" s="69"/>
    </row>
    <row r="72" spans="1:11" s="2" customFormat="1" ht="10.5" customHeight="1">
      <c r="A72" s="98"/>
      <c r="B72" s="68"/>
      <c r="C72" s="68"/>
      <c r="D72" s="68"/>
      <c r="E72" s="68"/>
      <c r="F72" s="68"/>
      <c r="G72" s="68"/>
      <c r="H72" s="68"/>
      <c r="I72" s="68"/>
      <c r="J72" s="68"/>
      <c r="K72" s="69"/>
    </row>
    <row r="73" spans="1:11" s="2" customFormat="1" ht="10.5" customHeight="1">
      <c r="A73" s="99" t="s">
        <v>72</v>
      </c>
      <c r="B73" s="69"/>
      <c r="C73" s="21"/>
      <c r="D73" s="21"/>
      <c r="E73" s="21"/>
      <c r="F73" s="21"/>
      <c r="G73" s="40" t="s">
        <v>73</v>
      </c>
      <c r="H73" s="40" t="s">
        <v>74</v>
      </c>
      <c r="I73" s="99" t="s">
        <v>75</v>
      </c>
      <c r="J73" s="68"/>
      <c r="K73" s="69"/>
    </row>
    <row r="74" spans="1:11" s="2" customFormat="1" ht="10.5" customHeight="1">
      <c r="A74" s="72" t="s">
        <v>76</v>
      </c>
      <c r="B74" s="73"/>
      <c r="C74" s="19"/>
      <c r="D74" s="19"/>
      <c r="E74" s="19"/>
      <c r="F74" s="19"/>
      <c r="G74" s="39"/>
      <c r="H74" s="39"/>
      <c r="I74" s="84"/>
      <c r="J74" s="68"/>
      <c r="K74" s="69"/>
    </row>
    <row r="75" spans="1:11" s="2" customFormat="1" ht="10.5" customHeight="1">
      <c r="A75" s="72" t="s">
        <v>77</v>
      </c>
      <c r="B75" s="73"/>
      <c r="C75" s="19"/>
      <c r="D75" s="19"/>
      <c r="E75" s="19"/>
      <c r="F75" s="19"/>
      <c r="G75" s="39"/>
      <c r="H75" s="39"/>
      <c r="I75" s="84"/>
      <c r="J75" s="68"/>
      <c r="K75" s="69"/>
    </row>
    <row r="76" spans="1:11" s="2" customFormat="1" ht="10.5" customHeight="1">
      <c r="A76" s="72" t="s">
        <v>78</v>
      </c>
      <c r="B76" s="73"/>
      <c r="C76" s="19"/>
      <c r="D76" s="19"/>
      <c r="E76" s="19"/>
      <c r="F76" s="19"/>
      <c r="G76" s="39"/>
      <c r="H76" s="39"/>
      <c r="I76" s="67"/>
      <c r="J76" s="68"/>
      <c r="K76" s="69"/>
    </row>
    <row r="77" spans="1:11" s="2" customFormat="1" ht="10.5" customHeight="1">
      <c r="A77" s="72" t="s">
        <v>79</v>
      </c>
      <c r="B77" s="73"/>
      <c r="C77" s="19"/>
      <c r="D77" s="19"/>
      <c r="E77" s="19"/>
      <c r="F77" s="19"/>
      <c r="G77" s="39"/>
      <c r="H77" s="39"/>
      <c r="I77" s="67"/>
      <c r="J77" s="68"/>
      <c r="K77" s="69"/>
    </row>
    <row r="78" spans="1:11" s="2" customFormat="1" ht="15.75" customHeight="1">
      <c r="A78" s="72" t="s">
        <v>80</v>
      </c>
      <c r="B78" s="73"/>
      <c r="C78" s="19"/>
      <c r="D78" s="19"/>
      <c r="E78" s="19"/>
      <c r="F78" s="19"/>
      <c r="G78" s="39"/>
      <c r="H78" s="39"/>
      <c r="I78" s="67"/>
      <c r="J78" s="68"/>
      <c r="K78" s="69"/>
    </row>
    <row r="79" spans="1:11" s="2" customFormat="1" ht="10.5" customHeight="1">
      <c r="A79" s="72" t="s">
        <v>81</v>
      </c>
      <c r="B79" s="73"/>
      <c r="C79" s="19"/>
      <c r="D79" s="19"/>
      <c r="E79" s="19"/>
      <c r="F79" s="19"/>
      <c r="G79" s="39"/>
      <c r="H79" s="39"/>
      <c r="I79" s="67"/>
      <c r="J79" s="68"/>
      <c r="K79" s="69"/>
    </row>
    <row r="80" spans="1:11" s="2" customFormat="1" ht="10.5" customHeight="1">
      <c r="A80" s="72" t="s">
        <v>82</v>
      </c>
      <c r="B80" s="73"/>
      <c r="C80" s="19"/>
      <c r="D80" s="19"/>
      <c r="E80" s="19"/>
      <c r="F80" s="19"/>
      <c r="G80" s="39"/>
      <c r="H80" s="39"/>
      <c r="I80" s="67"/>
      <c r="J80" s="68"/>
      <c r="K80" s="69"/>
    </row>
    <row r="81" spans="1:11" s="2" customFormat="1" ht="10.5" customHeight="1">
      <c r="A81" s="72" t="s">
        <v>83</v>
      </c>
      <c r="B81" s="73"/>
      <c r="C81" s="19"/>
      <c r="D81" s="19"/>
      <c r="E81" s="19"/>
      <c r="F81" s="19"/>
      <c r="G81" s="39"/>
      <c r="H81" s="39"/>
      <c r="I81" s="67"/>
      <c r="J81" s="68"/>
      <c r="K81" s="69"/>
    </row>
    <row r="82" spans="1:11" s="2" customFormat="1" ht="10.5" customHeight="1">
      <c r="A82" s="10" t="s">
        <v>84</v>
      </c>
      <c r="B82" s="19"/>
      <c r="C82" s="19"/>
      <c r="D82" s="19"/>
      <c r="E82" s="19"/>
      <c r="F82" s="19"/>
      <c r="G82" s="39"/>
      <c r="H82" s="39"/>
      <c r="I82" s="67"/>
      <c r="J82" s="68"/>
      <c r="K82" s="69"/>
    </row>
    <row r="83" spans="1:11" s="2" customFormat="1" ht="10.5" customHeight="1" thickBot="1">
      <c r="A83" s="70" t="s">
        <v>85</v>
      </c>
      <c r="B83" s="71"/>
      <c r="C83" s="52"/>
      <c r="D83" s="52"/>
      <c r="E83" s="52"/>
      <c r="F83" s="52"/>
      <c r="G83" s="53"/>
      <c r="H83" s="53"/>
      <c r="I83" s="79"/>
      <c r="J83" s="80"/>
      <c r="K83" s="81"/>
    </row>
    <row r="84" spans="1:11" s="2" customFormat="1" ht="10.15" customHeight="1">
      <c r="A84" s="22"/>
      <c r="B84" s="26"/>
      <c r="C84" s="26"/>
      <c r="D84" s="26"/>
      <c r="E84" s="26"/>
      <c r="F84" s="26"/>
      <c r="G84" s="23"/>
      <c r="H84" s="23"/>
      <c r="I84" s="26"/>
      <c r="J84" s="26"/>
      <c r="K84" s="27"/>
    </row>
    <row r="85" spans="1:11" s="2" customFormat="1" ht="10.5" customHeight="1" thickBot="1">
      <c r="A85" s="101" t="s">
        <v>86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3"/>
    </row>
    <row r="86" spans="1:11" s="2" customFormat="1" ht="46.15" customHeight="1">
      <c r="A86" s="100" t="s">
        <v>87</v>
      </c>
      <c r="B86" s="83"/>
      <c r="C86" s="83"/>
      <c r="D86" s="83"/>
      <c r="E86" s="83"/>
      <c r="F86" s="83"/>
      <c r="G86" s="83"/>
      <c r="H86" s="87"/>
      <c r="I86" s="100" t="s">
        <v>88</v>
      </c>
      <c r="J86" s="83"/>
      <c r="K86" s="87"/>
    </row>
  </sheetData>
  <autoFilter ref="A14:K60"/>
  <mergeCells count="77">
    <mergeCell ref="I86:K86"/>
    <mergeCell ref="A78:B78"/>
    <mergeCell ref="H10:I10"/>
    <mergeCell ref="A65:B65"/>
    <mergeCell ref="J10:K10"/>
    <mergeCell ref="I77:K77"/>
    <mergeCell ref="I79:K79"/>
    <mergeCell ref="A76:B76"/>
    <mergeCell ref="A75:B75"/>
    <mergeCell ref="I76:K76"/>
    <mergeCell ref="I78:K78"/>
    <mergeCell ref="A85:K85"/>
    <mergeCell ref="A86:H86"/>
    <mergeCell ref="I80:K80"/>
    <mergeCell ref="H11:I11"/>
    <mergeCell ref="A13:K13"/>
    <mergeCell ref="A72:K72"/>
    <mergeCell ref="H49:I49"/>
    <mergeCell ref="J4:K4"/>
    <mergeCell ref="I73:K73"/>
    <mergeCell ref="A56:B56"/>
    <mergeCell ref="A73:B73"/>
    <mergeCell ref="J5:K5"/>
    <mergeCell ref="H4:I4"/>
    <mergeCell ref="J6:K6"/>
    <mergeCell ref="J7:K7"/>
    <mergeCell ref="H9:I9"/>
    <mergeCell ref="H53:I53"/>
    <mergeCell ref="H50:I50"/>
    <mergeCell ref="A2:K2"/>
    <mergeCell ref="A47:K47"/>
    <mergeCell ref="H51:I51"/>
    <mergeCell ref="A67:B67"/>
    <mergeCell ref="A49:B49"/>
    <mergeCell ref="A53:B53"/>
    <mergeCell ref="A62:K62"/>
    <mergeCell ref="A59:B59"/>
    <mergeCell ref="H55:I55"/>
    <mergeCell ref="H48:I48"/>
    <mergeCell ref="A60:B60"/>
    <mergeCell ref="A51:B51"/>
    <mergeCell ref="H3:I3"/>
    <mergeCell ref="J3:K3"/>
    <mergeCell ref="H12:I12"/>
    <mergeCell ref="J12:K12"/>
    <mergeCell ref="A77:B77"/>
    <mergeCell ref="H5:I5"/>
    <mergeCell ref="A48:B48"/>
    <mergeCell ref="H52:I52"/>
    <mergeCell ref="A50:B50"/>
    <mergeCell ref="H54:I54"/>
    <mergeCell ref="A52:B52"/>
    <mergeCell ref="A57:B57"/>
    <mergeCell ref="H56:I56"/>
    <mergeCell ref="A54:B54"/>
    <mergeCell ref="H6:I6"/>
    <mergeCell ref="H7:I7"/>
    <mergeCell ref="A61:K61"/>
    <mergeCell ref="A58:B58"/>
    <mergeCell ref="H8:I8"/>
    <mergeCell ref="J8:K8"/>
    <mergeCell ref="I82:K82"/>
    <mergeCell ref="A83:B83"/>
    <mergeCell ref="A79:B79"/>
    <mergeCell ref="I81:K81"/>
    <mergeCell ref="A69:B69"/>
    <mergeCell ref="A71:K71"/>
    <mergeCell ref="A81:B81"/>
    <mergeCell ref="H63:H69"/>
    <mergeCell ref="A74:B74"/>
    <mergeCell ref="I83:K83"/>
    <mergeCell ref="A68:B68"/>
    <mergeCell ref="A70:K70"/>
    <mergeCell ref="A80:B80"/>
    <mergeCell ref="I74:K74"/>
    <mergeCell ref="I75:K75"/>
    <mergeCell ref="I63:K69"/>
  </mergeCells>
  <conditionalFormatting sqref="A73:A77 A17:A46 I45:I46 K40:L44 A15:G44 I15:J44">
    <cfRule type="containsErrors" dxfId="27" priority="256">
      <formula>ISERROR(A15)</formula>
    </cfRule>
  </conditionalFormatting>
  <conditionalFormatting sqref="A80">
    <cfRule type="containsErrors" dxfId="26" priority="259">
      <formula>ISERROR(A80)</formula>
    </cfRule>
  </conditionalFormatting>
  <conditionalFormatting sqref="A82:A83">
    <cfRule type="containsErrors" dxfId="25" priority="258">
      <formula>ISERROR(A82)</formula>
    </cfRule>
  </conditionalFormatting>
  <conditionalFormatting sqref="B45:B46">
    <cfRule type="containsErrors" dxfId="24" priority="75">
      <formula>ISERROR(B45)</formula>
    </cfRule>
  </conditionalFormatting>
  <conditionalFormatting sqref="A13:K14">
    <cfRule type="containsErrors" dxfId="23" priority="235">
      <formula>ISERROR(A13)</formula>
    </cfRule>
  </conditionalFormatting>
  <conditionalFormatting sqref="J25:J34">
    <cfRule type="containsErrors" dxfId="22" priority="30">
      <formula>ISERROR(J25)</formula>
    </cfRule>
  </conditionalFormatting>
  <conditionalFormatting sqref="G4:G7">
    <cfRule type="containsErrors" dxfId="21" priority="226">
      <formula>ISERROR(G4)</formula>
    </cfRule>
  </conditionalFormatting>
  <conditionalFormatting sqref="G11:G12">
    <cfRule type="containsErrors" dxfId="20" priority="57">
      <formula>ISERROR(G11)</formula>
    </cfRule>
  </conditionalFormatting>
  <conditionalFormatting sqref="A61 G49:G55">
    <cfRule type="containsErrors" dxfId="19" priority="264">
      <formula>ISERROR(A49)</formula>
    </cfRule>
  </conditionalFormatting>
  <conditionalFormatting sqref="H48:H59">
    <cfRule type="containsErrors" dxfId="18" priority="253">
      <formula>ISERROR(H48)</formula>
    </cfRule>
  </conditionalFormatting>
  <conditionalFormatting sqref="J3:J8 J10:J11">
    <cfRule type="containsErrors" dxfId="17" priority="219">
      <formula>ISERROR(J3)</formula>
    </cfRule>
  </conditionalFormatting>
  <conditionalFormatting sqref="A48:A59 K15:K27">
    <cfRule type="containsErrors" dxfId="16" priority="255">
      <formula>ISERROR(A15)</formula>
    </cfRule>
  </conditionalFormatting>
  <conditionalFormatting sqref="A15 J16:J20">
    <cfRule type="containsErrors" dxfId="15" priority="35">
      <formula>ISERROR(A15)</formula>
    </cfRule>
  </conditionalFormatting>
  <conditionalFormatting sqref="A16 J23:J24">
    <cfRule type="containsErrors" dxfId="14" priority="37">
      <formula>ISERROR(A16)</formula>
    </cfRule>
  </conditionalFormatting>
  <conditionalFormatting sqref="J21:J22">
    <cfRule type="containsErrors" dxfId="13" priority="34">
      <formula>ISERROR(J21)</formula>
    </cfRule>
  </conditionalFormatting>
  <conditionalFormatting sqref="G15">
    <cfRule type="containsErrors" dxfId="12" priority="19">
      <formula>ISERROR(G15)</formula>
    </cfRule>
  </conditionalFormatting>
  <conditionalFormatting sqref="J9">
    <cfRule type="containsErrors" dxfId="11" priority="18">
      <formula>ISERROR(J9)</formula>
    </cfRule>
  </conditionalFormatting>
  <conditionalFormatting sqref="K30">
    <cfRule type="containsErrors" dxfId="10" priority="17">
      <formula>ISERROR(K30)</formula>
    </cfRule>
  </conditionalFormatting>
  <conditionalFormatting sqref="C20:C22">
    <cfRule type="containsErrors" dxfId="9" priority="16">
      <formula>ISERROR(C20)</formula>
    </cfRule>
  </conditionalFormatting>
  <conditionalFormatting sqref="D20:E22">
    <cfRule type="containsErrors" dxfId="8" priority="15">
      <formula>ISERROR(D20)</formula>
    </cfRule>
  </conditionalFormatting>
  <conditionalFormatting sqref="I41:I44">
    <cfRule type="containsErrors" dxfId="7" priority="13">
      <formula>ISERROR(I41)</formula>
    </cfRule>
  </conditionalFormatting>
  <conditionalFormatting sqref="I40">
    <cfRule type="containsErrors" dxfId="6" priority="12">
      <formula>ISERROR(I40)</formula>
    </cfRule>
  </conditionalFormatting>
  <conditionalFormatting sqref="I26:I32">
    <cfRule type="containsErrors" dxfId="5" priority="11">
      <formula>ISERROR(I26)</formula>
    </cfRule>
  </conditionalFormatting>
  <conditionalFormatting sqref="K43:K44">
    <cfRule type="containsErrors" dxfId="4" priority="8">
      <formula>ISERROR(K43)</formula>
    </cfRule>
  </conditionalFormatting>
  <conditionalFormatting sqref="L41:L43">
    <cfRule type="containsErrors" dxfId="3" priority="9">
      <formula>ISERROR(L41)</formula>
    </cfRule>
  </conditionalFormatting>
  <conditionalFormatting sqref="B16:B18 B25:B39">
    <cfRule type="containsErrors" dxfId="2" priority="3">
      <formula>ISERROR(B16)</formula>
    </cfRule>
  </conditionalFormatting>
  <conditionalFormatting sqref="B40:B44">
    <cfRule type="containsErrors" dxfId="1" priority="2">
      <formula>ISERROR(B40)</formula>
    </cfRule>
  </conditionalFormatting>
  <conditionalFormatting sqref="B19:B24">
    <cfRule type="containsErrors" dxfId="0" priority="1">
      <formula>ISERROR(B19)</formula>
    </cfRule>
  </conditionalFormatting>
  <pageMargins left="0.7" right="0.7" top="0.75" bottom="0.75" header="0.3" footer="0.3"/>
  <pageSetup paperSize="9"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Abul Hasnat</dc:creator>
  <cp:lastModifiedBy>islam.munjurul</cp:lastModifiedBy>
  <dcterms:created xsi:type="dcterms:W3CDTF">2023-08-01T07:01:00Z</dcterms:created>
  <dcterms:modified xsi:type="dcterms:W3CDTF">2026-09-09T09:07:52Z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250177793B0149628681A452F1B6A511_12</vt:lpwstr>
  </property>
  <property fmtid="{D5CDD505-2E9C-101B-9397-08002B2CF9AE}" pid="3" name="KSOProductBuildVer">
    <vt:lpwstr>1033-12.2.0.17119</vt:lpwstr>
  </property>
</Properties>
</file>